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U:\Salva\2024_06\"/>
    </mc:Choice>
  </mc:AlternateContent>
  <xr:revisionPtr revIDLastSave="0" documentId="13_ncr:1_{3727FFA9-85C7-47E4-A284-AA277BCDFD91}" xr6:coauthVersionLast="47" xr6:coauthVersionMax="47" xr10:uidLastSave="{00000000-0000-0000-0000-000000000000}"/>
  <bookViews>
    <workbookView xWindow="-108" yWindow="-108" windowWidth="23256" windowHeight="13896" activeTab="1" xr2:uid="{E79D5FDA-EEA7-4E00-AD4D-EB63581A09D5}"/>
  </bookViews>
  <sheets>
    <sheet name="Table 1" sheetId="1" r:id="rId1"/>
    <sheet name="Table 2" sheetId="2" r:id="rId2"/>
    <sheet name="Table 3" sheetId="4" r:id="rId3"/>
    <sheet name="Table 4" sheetId="3" r:id="rId4"/>
  </sheets>
  <definedNames>
    <definedName name="_xlnm.Print_Area" localSheetId="1">'Table 2'!$A$2:$E$22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2" l="1"/>
  <c r="C13" i="2"/>
  <c r="C13" i="4"/>
  <c r="C8" i="4"/>
  <c r="C7" i="4"/>
  <c r="C4" i="4"/>
  <c r="D4" i="4"/>
  <c r="D10" i="4"/>
  <c r="D9" i="4"/>
  <c r="B6" i="4"/>
  <c r="B5" i="4"/>
  <c r="D13" i="4"/>
  <c r="B13" i="4"/>
  <c r="B4" i="4"/>
  <c r="A10" i="4"/>
  <c r="B11" i="4"/>
  <c r="D11" i="4"/>
  <c r="A10" i="3"/>
  <c r="A10" i="2"/>
  <c r="C11" i="3"/>
  <c r="B11" i="3"/>
  <c r="C16" i="3"/>
  <c r="B16" i="3"/>
  <c r="C10" i="3"/>
  <c r="B10" i="3"/>
  <c r="C9" i="3"/>
  <c r="B9" i="3"/>
  <c r="C8" i="3"/>
  <c r="B8" i="3"/>
  <c r="C7" i="3"/>
  <c r="B7" i="3"/>
  <c r="C6" i="3"/>
  <c r="B6" i="3"/>
  <c r="E21" i="2"/>
  <c r="D21" i="2"/>
  <c r="C21" i="2"/>
  <c r="B21" i="2"/>
  <c r="E12" i="2"/>
  <c r="D12" i="2"/>
  <c r="C12" i="2"/>
  <c r="B12" i="2"/>
  <c r="E11" i="2"/>
  <c r="D11" i="2"/>
  <c r="C11" i="2"/>
  <c r="B11" i="2"/>
  <c r="E10" i="2"/>
  <c r="D10" i="2"/>
  <c r="C10" i="2"/>
  <c r="B10" i="2"/>
  <c r="E9" i="2"/>
  <c r="D9" i="2"/>
  <c r="C9" i="2"/>
  <c r="B9" i="2"/>
  <c r="E8" i="2"/>
  <c r="D8" i="2"/>
  <c r="C8" i="2"/>
  <c r="B8" i="2"/>
  <c r="E7" i="2"/>
  <c r="D7" i="2"/>
  <c r="C7" i="2"/>
  <c r="B7" i="2"/>
  <c r="E5" i="2"/>
  <c r="D5" i="2"/>
  <c r="E6" i="2"/>
  <c r="D6" i="2"/>
  <c r="C6" i="2"/>
  <c r="B6" i="2"/>
  <c r="B6" i="1"/>
  <c r="C6" i="1"/>
  <c r="D6" i="1"/>
  <c r="E6" i="1"/>
  <c r="F6" i="1"/>
  <c r="B7" i="1"/>
  <c r="C7" i="1"/>
  <c r="D7" i="1"/>
  <c r="E7" i="1"/>
  <c r="F7" i="1"/>
  <c r="F8" i="1"/>
  <c r="F9" i="1"/>
  <c r="F10" i="1"/>
  <c r="E10" i="1"/>
  <c r="D10" i="1"/>
  <c r="C10" i="1"/>
  <c r="B10" i="1"/>
  <c r="E9" i="1"/>
  <c r="D9" i="1"/>
  <c r="C9" i="1"/>
  <c r="B9" i="1"/>
  <c r="A9" i="1"/>
  <c r="E8" i="1"/>
  <c r="D8" i="1"/>
  <c r="C8" i="1"/>
  <c r="B8" i="1"/>
  <c r="F5" i="1"/>
  <c r="E5" i="1"/>
  <c r="D5" i="1"/>
  <c r="C5" i="1"/>
  <c r="B5" i="1"/>
  <c r="A4" i="1"/>
  <c r="F4" i="1"/>
  <c r="E4" i="1"/>
  <c r="D4" i="1"/>
  <c r="C4" i="1"/>
  <c r="B4" i="1"/>
</calcChain>
</file>

<file path=xl/sharedStrings.xml><?xml version="1.0" encoding="utf-8"?>
<sst xmlns="http://schemas.openxmlformats.org/spreadsheetml/2006/main" count="82" uniqueCount="33">
  <si>
    <t>Linear time trend</t>
  </si>
  <si>
    <t>No</t>
  </si>
  <si>
    <t>Yes</t>
  </si>
  <si>
    <t>Dummies for East German states / Berlin</t>
  </si>
  <si>
    <t>State-level controls</t>
  </si>
  <si>
    <t>ln(state-level incidence rate)</t>
  </si>
  <si>
    <t>ln(state-level vaccination rate)</t>
  </si>
  <si>
    <t>Observations</t>
  </si>
  <si>
    <t>Excluding NRW,</t>
  </si>
  <si>
    <t>Bavaria</t>
  </si>
  <si>
    <t>Fixed effects</t>
  </si>
  <si>
    <t>State fixed effects</t>
  </si>
  <si>
    <t>Deviations</t>
  </si>
  <si>
    <t>instead of logs (a)</t>
  </si>
  <si>
    <t>Percent difference: state- vs federal-level</t>
  </si>
  <si>
    <t>incidence rate</t>
  </si>
  <si>
    <t>vaccination rate</t>
  </si>
  <si>
    <t>Week of prime  ministers</t>
  </si>
  <si>
    <t>conference (PMC)</t>
  </si>
  <si>
    <t>Day of PMC till</t>
  </si>
  <si>
    <t>3 days afterwards</t>
  </si>
  <si>
    <t>Week of PMC</t>
  </si>
  <si>
    <t>Day of PMC till 3 days afterwards</t>
  </si>
  <si>
    <t>3 days before PMC</t>
  </si>
  <si>
    <t>Notes: Each column reports results from an OLS regression in which each observation contains the number of statements (tweets) given by state prime ministers per day. Each regression corrects for day of the week fixed effects and includes a dummy indicating a period around the PMCs. In column (1), this is time period from three days before till three days after PMCs, in column (2), this is three days before PMCs and in column (3), this is the days of PMCs + 3 days afterwards.
*** p &lt; 0.01, ** p &lt; 0.05, * p &lt; 0.10</t>
  </si>
  <si>
    <r>
      <rPr>
        <b/>
        <sz val="11"/>
        <color theme="1"/>
        <rFont val="Aptos Narrow"/>
        <family val="2"/>
        <scheme val="minor"/>
      </rPr>
      <t xml:space="preserve">Table 2. </t>
    </r>
    <r>
      <rPr>
        <sz val="11"/>
        <color theme="1"/>
        <rFont val="Aptos Narrow"/>
        <family val="2"/>
        <scheme val="minor"/>
      </rPr>
      <t>Robustness checks: Covid-19 incidence rates and state prime ministers' statements favoring (de)centralized decision-making</t>
    </r>
  </si>
  <si>
    <r>
      <rPr>
        <b/>
        <sz val="11"/>
        <color theme="1"/>
        <rFont val="Aptos Narrow"/>
        <family val="2"/>
        <scheme val="minor"/>
      </rPr>
      <t>Table 1.</t>
    </r>
    <r>
      <rPr>
        <sz val="11"/>
        <color theme="1"/>
        <rFont val="Aptos Narrow"/>
        <family val="2"/>
        <scheme val="minor"/>
      </rPr>
      <t xml:space="preserve"> Covid-19 incidence rates and state prime ministers' statements favoring (de)centralized decision-making</t>
    </r>
  </si>
  <si>
    <r>
      <rPr>
        <b/>
        <sz val="11"/>
        <color theme="1"/>
        <rFont val="Aptos Narrow"/>
        <family val="2"/>
        <scheme val="minor"/>
      </rPr>
      <t xml:space="preserve">Table 3. </t>
    </r>
    <r>
      <rPr>
        <sz val="11"/>
        <color theme="1"/>
        <rFont val="Aptos Narrow"/>
        <family val="2"/>
        <scheme val="minor"/>
      </rPr>
      <t>Numbers of statements (tweets) per day around prime ministers conferences (PMC)</t>
    </r>
  </si>
  <si>
    <t>*** p &lt; 0.01, ** p &lt; 0.05, * p &lt; 0.10</t>
  </si>
  <si>
    <r>
      <rPr>
        <b/>
        <sz val="11"/>
        <color theme="1"/>
        <rFont val="Aptos Narrow"/>
        <family val="2"/>
        <scheme val="minor"/>
      </rPr>
      <t>Table 4.</t>
    </r>
    <r>
      <rPr>
        <sz val="11"/>
        <color theme="1"/>
        <rFont val="Aptos Narrow"/>
        <family val="2"/>
        <scheme val="minor"/>
      </rPr>
      <t xml:space="preserve"> Covid-19 incidence rates and state prime ministers' statements favoring (de)centralized decision-making around the prime ministers conferences</t>
    </r>
  </si>
  <si>
    <t>Notes: Columns (1), (3) and (4) each report exponentiated coefficients from a separate ordered logit regression. In columns (3) and (4), these are state fixed effects (conditional) ordered logistic regressions. Dependent variable is the 4-point pandemic policy index (PPI). Higher values indicate a stronger expressed desire for centralized decision-making. Coefficients are expressed as changes in the odds ratio of giving a statement Y that falls into a higher vs a lower category j , i.e., P(Y≤j)/P(Y&gt;j) . Column (2) shows results from a regression in which the independent variable of interest is measured as percent difference between state-level and federal-level. Regressions (1), (3) and (4) control for ln(federal level incidence rate). Regressions (1) and (5) control for ln(federal level vaccination rate). Regressions (1), (2) and (5) include a dummy for the pre-vaccination period.
*** p &lt; 0.01, ** p &lt; 0.05, * p &lt; 0.10</t>
  </si>
  <si>
    <t>Notes: Each column reports exponentiated coefficients from a separate ordered logit regression. Dependent variable is the 4-point pandemic policy index (PPI). Higher values indicate a stronger expressed desire for centralized decision-making. Coefficients are expressed as changes in the odds ratio of giving a statement Y that falls into a higher vs a lower category j , i.e., P(Y≤j)/P(Y&gt;j) . All regressions control ln(federal level incidence rate) and column (5) controls for ln(federal level vaccination rate) and a dummy for the pre-vaccination period.
*** p &lt; 0.01, ** p &lt; 0.05, * p &lt; 0.10</t>
  </si>
  <si>
    <t>Notes: Each column reports reports exponentiated coefficients from a separate ordered logit regression. Column (1) limits the sample to the week around prime ministers conferences (PMC). Column (2) limits the sample to the days of PMCs + 3 days afterwards. Dependent variable is the 4-point pandemic policy index (PPI). Higher values indicate a stronger expressed desire for centralized decision-making. Coefficients are expressed as changes in the odds ratio of giving a statement Y that falls into a higher vs a lower category j , i.e., P(Y≤j)/P(Y&gt;j) . Both regressions control ln(federal level incidence rate) and column (5) controls for ln(federal level vaccination rate) and a dummy for the pre-vaccination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</si>
</sst>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4">
    <border>
      <left/>
      <right/>
      <top/>
      <bottom/>
      <diagonal/>
    </border>
    <border>
      <left/>
      <right/>
      <top style="thin">
        <color auto="1"/>
      </top>
      <bottom style="thin">
        <color auto="1"/>
      </bottom>
      <diagonal/>
    </border>
    <border>
      <left/>
      <right/>
      <top/>
      <bottom style="thin">
        <color auto="1"/>
      </bottom>
      <diagonal/>
    </border>
    <border>
      <left/>
      <right/>
      <top style="thin">
        <color auto="1"/>
      </top>
      <bottom/>
      <diagonal/>
    </border>
  </borders>
  <cellStyleXfs count="1">
    <xf numFmtId="0" fontId="0" fillId="0" borderId="0"/>
  </cellStyleXfs>
  <cellXfs count="17">
    <xf numFmtId="0" fontId="0" fillId="0" borderId="0" xfId="0"/>
    <xf numFmtId="49" fontId="0" fillId="0" borderId="0" xfId="0" applyNumberFormat="1"/>
    <xf numFmtId="0" fontId="0" fillId="0" borderId="2" xfId="0" applyBorder="1"/>
    <xf numFmtId="0" fontId="0" fillId="0" borderId="1" xfId="0" applyBorder="1"/>
    <xf numFmtId="49" fontId="0" fillId="0" borderId="3" xfId="0" applyNumberFormat="1" applyBorder="1"/>
    <xf numFmtId="0" fontId="0" fillId="0" borderId="3" xfId="0" applyBorder="1"/>
    <xf numFmtId="0" fontId="0" fillId="0" borderId="0" xfId="0" applyAlignment="1">
      <alignment wrapText="1"/>
    </xf>
    <xf numFmtId="0" fontId="0" fillId="0" borderId="0" xfId="0"/>
    <xf numFmtId="0" fontId="0" fillId="0" borderId="3" xfId="0" applyBorder="1" applyAlignment="1">
      <alignment wrapText="1"/>
    </xf>
    <xf numFmtId="0" fontId="0" fillId="0" borderId="2" xfId="0" applyBorder="1" applyAlignment="1">
      <alignment wrapText="1"/>
    </xf>
    <xf numFmtId="0" fontId="0" fillId="0" borderId="1" xfId="0" applyBorder="1" applyAlignment="1">
      <alignment horizontal="center"/>
    </xf>
    <xf numFmtId="0" fontId="0" fillId="0" borderId="2" xfId="0" applyBorder="1" applyAlignment="1">
      <alignment horizontal="center"/>
    </xf>
    <xf numFmtId="0" fontId="0" fillId="0" borderId="0" xfId="0" applyAlignment="1">
      <alignment horizontal="center"/>
    </xf>
    <xf numFmtId="49" fontId="0" fillId="0" borderId="3" xfId="0" applyNumberFormat="1" applyBorder="1" applyAlignment="1">
      <alignment horizontal="center"/>
    </xf>
    <xf numFmtId="0" fontId="0" fillId="0" borderId="3" xfId="0" applyBorder="1" applyAlignment="1">
      <alignment horizontal="center"/>
    </xf>
    <xf numFmtId="49" fontId="0" fillId="0" borderId="0" xfId="0" applyNumberFormat="1" applyAlignment="1">
      <alignment horizontal="center"/>
    </xf>
    <xf numFmtId="0" fontId="0" fillId="0" borderId="0" xfId="0" applyAlignment="1">
      <alignment horizontal="distributed"/>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657C5-038A-43F3-9BB3-BA4DA38F7AEC}">
  <dimension ref="A3:I14"/>
  <sheetViews>
    <sheetView workbookViewId="0">
      <selection activeCell="A14" sqref="A14:F14"/>
    </sheetView>
  </sheetViews>
  <sheetFormatPr baseColWidth="10" defaultRowHeight="14.4" x14ac:dyDescent="0.3"/>
  <cols>
    <col min="1" max="1" width="39.6640625" customWidth="1"/>
  </cols>
  <sheetData>
    <row r="3" spans="1:9" x14ac:dyDescent="0.3">
      <c r="A3" t="s">
        <v>26</v>
      </c>
    </row>
    <row r="4" spans="1:9" x14ac:dyDescent="0.3">
      <c r="A4" s="3" t="str">
        <f>""</f>
        <v/>
      </c>
      <c r="B4" s="10" t="str">
        <f>"(1)"</f>
        <v>(1)</v>
      </c>
      <c r="C4" s="10" t="str">
        <f>"(2)"</f>
        <v>(2)</v>
      </c>
      <c r="D4" s="10" t="str">
        <f>"(3)"</f>
        <v>(3)</v>
      </c>
      <c r="E4" s="10" t="str">
        <f>"(4)"</f>
        <v>(4)</v>
      </c>
      <c r="F4" s="10" t="str">
        <f>"(5)"</f>
        <v>(5)</v>
      </c>
      <c r="G4" s="1"/>
      <c r="H4" s="1"/>
      <c r="I4" s="1"/>
    </row>
    <row r="5" spans="1:9" x14ac:dyDescent="0.3">
      <c r="B5" t="str">
        <f>""</f>
        <v/>
      </c>
      <c r="C5" t="str">
        <f>""</f>
        <v/>
      </c>
      <c r="D5" t="str">
        <f>""</f>
        <v/>
      </c>
      <c r="E5" t="str">
        <f>""</f>
        <v/>
      </c>
      <c r="F5" t="str">
        <f>""</f>
        <v/>
      </c>
    </row>
    <row r="6" spans="1:9" x14ac:dyDescent="0.3">
      <c r="A6" t="s">
        <v>5</v>
      </c>
      <c r="B6" s="16" t="str">
        <f>"1.730***"</f>
        <v>1.730***</v>
      </c>
      <c r="C6" s="16" t="str">
        <f>"1.904***"</f>
        <v>1.904***</v>
      </c>
      <c r="D6" s="16" t="str">
        <f>"2.003***"</f>
        <v>2.003***</v>
      </c>
      <c r="E6" s="16" t="str">
        <f>"1.983***"</f>
        <v>1.983***</v>
      </c>
      <c r="F6" s="16" t="str">
        <f>"1.985***"</f>
        <v>1.985***</v>
      </c>
    </row>
    <row r="7" spans="1:9" x14ac:dyDescent="0.3">
      <c r="B7" s="16" t="str">
        <f>"(0.307)"</f>
        <v>(0.307)</v>
      </c>
      <c r="C7" s="16" t="str">
        <f>"(0.340)"</f>
        <v>(0.340)</v>
      </c>
      <c r="D7" s="16" t="str">
        <f>"(0.360)"</f>
        <v>(0.360)</v>
      </c>
      <c r="E7" s="16" t="str">
        <f>"(0.425)"</f>
        <v>(0.425)</v>
      </c>
      <c r="F7" s="16" t="str">
        <f>"(0.438)"</f>
        <v>(0.438)</v>
      </c>
    </row>
    <row r="8" spans="1:9" x14ac:dyDescent="0.3">
      <c r="A8" t="s">
        <v>6</v>
      </c>
      <c r="B8" s="16" t="str">
        <f>""</f>
        <v/>
      </c>
      <c r="C8" s="16" t="str">
        <f>""</f>
        <v/>
      </c>
      <c r="D8" s="16" t="str">
        <f>""</f>
        <v/>
      </c>
      <c r="E8" s="16" t="str">
        <f>""</f>
        <v/>
      </c>
      <c r="F8" s="16" t="str">
        <f>"0.806"</f>
        <v>0.806</v>
      </c>
    </row>
    <row r="9" spans="1:9" x14ac:dyDescent="0.3">
      <c r="A9" t="str">
        <f>""</f>
        <v/>
      </c>
      <c r="B9" s="16" t="str">
        <f>""</f>
        <v/>
      </c>
      <c r="C9" s="16" t="str">
        <f>""</f>
        <v/>
      </c>
      <c r="D9" s="16" t="str">
        <f>""</f>
        <v/>
      </c>
      <c r="E9" s="16" t="str">
        <f>""</f>
        <v/>
      </c>
      <c r="F9" s="16" t="str">
        <f>"(0.117)"</f>
        <v>(0.117)</v>
      </c>
    </row>
    <row r="10" spans="1:9" x14ac:dyDescent="0.3">
      <c r="B10" t="str">
        <f>""</f>
        <v/>
      </c>
      <c r="C10" t="str">
        <f>""</f>
        <v/>
      </c>
      <c r="D10" t="str">
        <f>""</f>
        <v/>
      </c>
      <c r="E10" t="str">
        <f>""</f>
        <v/>
      </c>
      <c r="F10" t="str">
        <f>""</f>
        <v/>
      </c>
    </row>
    <row r="11" spans="1:9" x14ac:dyDescent="0.3">
      <c r="A11" t="s">
        <v>0</v>
      </c>
      <c r="B11" s="12" t="s">
        <v>1</v>
      </c>
      <c r="C11" s="12" t="s">
        <v>2</v>
      </c>
      <c r="D11" s="12" t="s">
        <v>2</v>
      </c>
      <c r="E11" s="12" t="s">
        <v>2</v>
      </c>
      <c r="F11" s="12" t="s">
        <v>2</v>
      </c>
    </row>
    <row r="12" spans="1:9" x14ac:dyDescent="0.3">
      <c r="A12" t="s">
        <v>3</v>
      </c>
      <c r="B12" s="12" t="s">
        <v>1</v>
      </c>
      <c r="C12" s="12" t="s">
        <v>1</v>
      </c>
      <c r="D12" s="12" t="s">
        <v>2</v>
      </c>
      <c r="E12" s="12" t="s">
        <v>2</v>
      </c>
      <c r="F12" s="12" t="s">
        <v>2</v>
      </c>
    </row>
    <row r="13" spans="1:9" x14ac:dyDescent="0.3">
      <c r="A13" s="2" t="s">
        <v>4</v>
      </c>
      <c r="B13" s="11" t="s">
        <v>1</v>
      </c>
      <c r="C13" s="11" t="s">
        <v>1</v>
      </c>
      <c r="D13" s="11" t="s">
        <v>1</v>
      </c>
      <c r="E13" s="11" t="s">
        <v>2</v>
      </c>
      <c r="F13" s="11" t="s">
        <v>2</v>
      </c>
    </row>
    <row r="14" spans="1:9" ht="90.6" customHeight="1" x14ac:dyDescent="0.3">
      <c r="A14" s="6" t="s">
        <v>31</v>
      </c>
      <c r="B14" s="6"/>
      <c r="C14" s="6"/>
      <c r="D14" s="6"/>
      <c r="E14" s="6"/>
      <c r="F14" s="6"/>
    </row>
  </sheetData>
  <mergeCells count="1">
    <mergeCell ref="A14:F14"/>
  </mergeCells>
  <pageMargins left="0.7" right="0.7" top="0.78740157499999996" bottom="0.78740157499999996"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1505-93CB-45E4-90E7-5205CD56222A}">
  <sheetPr>
    <pageSetUpPr fitToPage="1"/>
  </sheetPr>
  <dimension ref="A3:E22"/>
  <sheetViews>
    <sheetView tabSelected="1" topLeftCell="A3" workbookViewId="0">
      <selection activeCell="E21" sqref="E21"/>
    </sheetView>
  </sheetViews>
  <sheetFormatPr baseColWidth="10" defaultRowHeight="14.4" x14ac:dyDescent="0.3"/>
  <cols>
    <col min="1" max="1" width="37" bestFit="1" customWidth="1"/>
    <col min="2" max="2" width="18" bestFit="1" customWidth="1"/>
    <col min="3" max="3" width="16.44140625" bestFit="1" customWidth="1"/>
  </cols>
  <sheetData>
    <row r="3" spans="1:5" ht="28.8" customHeight="1" x14ac:dyDescent="0.3">
      <c r="A3" s="9" t="s">
        <v>25</v>
      </c>
      <c r="B3" s="9"/>
      <c r="C3" s="9"/>
      <c r="D3" s="9"/>
      <c r="E3" s="9"/>
    </row>
    <row r="4" spans="1:5" x14ac:dyDescent="0.3">
      <c r="A4" s="4"/>
      <c r="B4" s="13" t="s">
        <v>8</v>
      </c>
      <c r="C4" s="13" t="s">
        <v>12</v>
      </c>
      <c r="D4" s="13" t="s">
        <v>10</v>
      </c>
      <c r="E4" s="13" t="s">
        <v>10</v>
      </c>
    </row>
    <row r="5" spans="1:5" x14ac:dyDescent="0.3">
      <c r="B5" s="12" t="s">
        <v>9</v>
      </c>
      <c r="C5" s="12" t="s">
        <v>13</v>
      </c>
      <c r="D5" s="12" t="str">
        <f>""</f>
        <v/>
      </c>
      <c r="E5" s="12" t="str">
        <f>""</f>
        <v/>
      </c>
    </row>
    <row r="6" spans="1:5" x14ac:dyDescent="0.3">
      <c r="A6" s="2"/>
      <c r="B6" s="11" t="str">
        <f>"(1)"</f>
        <v>(1)</v>
      </c>
      <c r="C6" s="11" t="str">
        <f>"(2)"</f>
        <v>(2)</v>
      </c>
      <c r="D6" s="11" t="str">
        <f>"(3)"</f>
        <v>(3)</v>
      </c>
      <c r="E6" s="11" t="str">
        <f>"(4)"</f>
        <v>(4)</v>
      </c>
    </row>
    <row r="7" spans="1:5" x14ac:dyDescent="0.3">
      <c r="A7" t="s">
        <v>5</v>
      </c>
      <c r="B7" s="16" t="str">
        <f>"1.751**"</f>
        <v>1.751**</v>
      </c>
      <c r="C7" s="16" t="str">
        <f>""</f>
        <v/>
      </c>
      <c r="D7" s="16" t="str">
        <f>"1.610"</f>
        <v>1.610</v>
      </c>
      <c r="E7" s="16" t="str">
        <f>"1.504"</f>
        <v>1.504</v>
      </c>
    </row>
    <row r="8" spans="1:5" x14ac:dyDescent="0.3">
      <c r="B8" s="16" t="str">
        <f>"(0.410)"</f>
        <v>(0.410)</v>
      </c>
      <c r="C8" s="16" t="str">
        <f>""</f>
        <v/>
      </c>
      <c r="D8" s="16" t="str">
        <f>"(0.473)"</f>
        <v>(0.473)</v>
      </c>
      <c r="E8" s="16" t="str">
        <f>"(0.429)"</f>
        <v>(0.429)</v>
      </c>
    </row>
    <row r="9" spans="1:5" x14ac:dyDescent="0.3">
      <c r="A9" t="s">
        <v>6</v>
      </c>
      <c r="B9" s="16" t="str">
        <f>"0.776**"</f>
        <v>0.776**</v>
      </c>
      <c r="C9" s="16" t="str">
        <f>""</f>
        <v/>
      </c>
      <c r="D9" s="16" t="str">
        <f>""</f>
        <v/>
      </c>
      <c r="E9" s="16" t="str">
        <f>"0.740**"</f>
        <v>0.740**</v>
      </c>
    </row>
    <row r="10" spans="1:5" x14ac:dyDescent="0.3">
      <c r="A10" t="str">
        <f>""</f>
        <v/>
      </c>
      <c r="B10" s="16" t="str">
        <f>"(0.100)"</f>
        <v>(0.100)</v>
      </c>
      <c r="C10" s="16" t="str">
        <f>""</f>
        <v/>
      </c>
      <c r="D10" s="16" t="str">
        <f>""</f>
        <v/>
      </c>
      <c r="E10" s="16" t="str">
        <f>"(0.105)"</f>
        <v>(0.105)</v>
      </c>
    </row>
    <row r="11" spans="1:5" x14ac:dyDescent="0.3">
      <c r="A11" t="s">
        <v>14</v>
      </c>
      <c r="B11" s="16" t="str">
        <f>""</f>
        <v/>
      </c>
      <c r="C11" s="16" t="str">
        <f>"1.956***"</f>
        <v>1.956***</v>
      </c>
      <c r="D11" s="16" t="str">
        <f>""</f>
        <v/>
      </c>
      <c r="E11" s="16" t="str">
        <f>""</f>
        <v/>
      </c>
    </row>
    <row r="12" spans="1:5" x14ac:dyDescent="0.3">
      <c r="A12" t="s">
        <v>15</v>
      </c>
      <c r="B12" s="16" t="str">
        <f>""</f>
        <v/>
      </c>
      <c r="C12" s="16" t="str">
        <f>"(0.507)"</f>
        <v>(0.507)</v>
      </c>
      <c r="D12" s="16" t="str">
        <f>""</f>
        <v/>
      </c>
      <c r="E12" s="16" t="str">
        <f>""</f>
        <v/>
      </c>
    </row>
    <row r="13" spans="1:5" x14ac:dyDescent="0.3">
      <c r="A13" t="s">
        <v>14</v>
      </c>
      <c r="B13" s="16"/>
      <c r="C13" s="16" t="str">
        <f>"0.961"</f>
        <v>0.961</v>
      </c>
      <c r="D13" s="16"/>
      <c r="E13" s="16"/>
    </row>
    <row r="14" spans="1:5" x14ac:dyDescent="0.3">
      <c r="A14" t="s">
        <v>16</v>
      </c>
      <c r="B14" s="16"/>
      <c r="C14" s="16" t="str">
        <f>"(1.108)"</f>
        <v>(1.108)</v>
      </c>
      <c r="D14" s="16"/>
      <c r="E14" s="16"/>
    </row>
    <row r="16" spans="1:5" x14ac:dyDescent="0.3">
      <c r="A16" t="s">
        <v>0</v>
      </c>
      <c r="B16" s="12" t="s">
        <v>2</v>
      </c>
      <c r="C16" s="12" t="s">
        <v>2</v>
      </c>
      <c r="D16" s="12" t="s">
        <v>2</v>
      </c>
      <c r="E16" s="12" t="s">
        <v>2</v>
      </c>
    </row>
    <row r="17" spans="1:5" x14ac:dyDescent="0.3">
      <c r="A17" t="s">
        <v>3</v>
      </c>
      <c r="B17" s="12" t="s">
        <v>2</v>
      </c>
      <c r="C17" s="12" t="s">
        <v>2</v>
      </c>
      <c r="D17" s="12" t="s">
        <v>1</v>
      </c>
      <c r="E17" s="12" t="s">
        <v>1</v>
      </c>
    </row>
    <row r="18" spans="1:5" x14ac:dyDescent="0.3">
      <c r="A18" t="s">
        <v>4</v>
      </c>
      <c r="B18" s="12" t="s">
        <v>2</v>
      </c>
      <c r="C18" s="12" t="s">
        <v>2</v>
      </c>
      <c r="D18" s="12" t="s">
        <v>1</v>
      </c>
      <c r="E18" s="12" t="s">
        <v>1</v>
      </c>
    </row>
    <row r="19" spans="1:5" x14ac:dyDescent="0.3">
      <c r="A19" s="2" t="s">
        <v>11</v>
      </c>
      <c r="B19" s="11" t="s">
        <v>1</v>
      </c>
      <c r="C19" s="11" t="s">
        <v>1</v>
      </c>
      <c r="D19" s="11" t="s">
        <v>2</v>
      </c>
      <c r="E19" s="11" t="s">
        <v>2</v>
      </c>
    </row>
    <row r="20" spans="1:5" x14ac:dyDescent="0.3">
      <c r="B20" s="12"/>
      <c r="C20" s="12"/>
      <c r="D20" s="12"/>
      <c r="E20" s="12"/>
    </row>
    <row r="21" spans="1:5" x14ac:dyDescent="0.3">
      <c r="A21" s="2" t="s">
        <v>7</v>
      </c>
      <c r="B21" s="11" t="str">
        <f>"523"</f>
        <v>523</v>
      </c>
      <c r="C21" s="11" t="str">
        <f>"600"</f>
        <v>600</v>
      </c>
      <c r="D21" s="11" t="str">
        <f>"600"</f>
        <v>600</v>
      </c>
      <c r="E21" s="11" t="str">
        <f>"600"</f>
        <v>600</v>
      </c>
    </row>
    <row r="22" spans="1:5" ht="134.4" customHeight="1" x14ac:dyDescent="0.3">
      <c r="A22" s="6" t="s">
        <v>30</v>
      </c>
      <c r="B22" s="7"/>
      <c r="C22" s="7"/>
      <c r="D22" s="7"/>
      <c r="E22" s="7"/>
    </row>
  </sheetData>
  <mergeCells count="2">
    <mergeCell ref="A22:E22"/>
    <mergeCell ref="A3:E3"/>
  </mergeCells>
  <pageMargins left="0.7" right="0.7" top="0.78740157499999996" bottom="0.78740157499999996"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50460-0395-4355-A4FB-8155B9BEDDFC}">
  <dimension ref="A3:D14"/>
  <sheetViews>
    <sheetView topLeftCell="A2" workbookViewId="0">
      <selection activeCell="A14" sqref="A3:D14"/>
    </sheetView>
  </sheetViews>
  <sheetFormatPr baseColWidth="10" defaultRowHeight="14.4" x14ac:dyDescent="0.3"/>
  <cols>
    <col min="1" max="1" width="29.88671875" customWidth="1"/>
    <col min="2" max="2" width="22.21875" bestFit="1" customWidth="1"/>
    <col min="3" max="3" width="22.21875" customWidth="1"/>
    <col min="4" max="4" width="16.109375" bestFit="1" customWidth="1"/>
  </cols>
  <sheetData>
    <row r="3" spans="1:4" x14ac:dyDescent="0.3">
      <c r="A3" t="s">
        <v>27</v>
      </c>
    </row>
    <row r="4" spans="1:4" x14ac:dyDescent="0.3">
      <c r="A4" s="3"/>
      <c r="B4" s="10" t="str">
        <f>"(1)"</f>
        <v>(1)</v>
      </c>
      <c r="C4" s="10" t="str">
        <f>"(2)"</f>
        <v>(2)</v>
      </c>
      <c r="D4" s="10" t="str">
        <f>"(3)"</f>
        <v>(3)</v>
      </c>
    </row>
    <row r="5" spans="1:4" x14ac:dyDescent="0.3">
      <c r="A5" t="s">
        <v>21</v>
      </c>
      <c r="B5" s="16" t="str">
        <f>"1.786***"</f>
        <v>1.786***</v>
      </c>
      <c r="C5" s="16"/>
      <c r="D5" s="16"/>
    </row>
    <row r="6" spans="1:4" x14ac:dyDescent="0.3">
      <c r="B6" s="16" t="str">
        <f>"(0.492)"</f>
        <v>(0.492)</v>
      </c>
      <c r="C6" s="16"/>
      <c r="D6" s="16"/>
    </row>
    <row r="7" spans="1:4" x14ac:dyDescent="0.3">
      <c r="A7" t="s">
        <v>23</v>
      </c>
      <c r="B7" s="16"/>
      <c r="C7" s="16" t="str">
        <f>"0.081"</f>
        <v>0.081</v>
      </c>
      <c r="D7" s="16"/>
    </row>
    <row r="8" spans="1:4" x14ac:dyDescent="0.3">
      <c r="B8" s="16"/>
      <c r="C8" s="16" t="str">
        <f>"(0.422)"</f>
        <v>(0.422)</v>
      </c>
      <c r="D8" s="16"/>
    </row>
    <row r="9" spans="1:4" x14ac:dyDescent="0.3">
      <c r="A9" t="s">
        <v>22</v>
      </c>
      <c r="B9" s="16"/>
      <c r="C9" s="16"/>
      <c r="D9" s="16" t="str">
        <f>"2.672***"</f>
        <v>2.672***</v>
      </c>
    </row>
    <row r="10" spans="1:4" x14ac:dyDescent="0.3">
      <c r="A10" t="str">
        <f>""</f>
        <v/>
      </c>
      <c r="B10" s="16"/>
      <c r="C10" s="16"/>
      <c r="D10" s="16" t="str">
        <f>"(0.727)"</f>
        <v>(0.727)</v>
      </c>
    </row>
    <row r="11" spans="1:4" x14ac:dyDescent="0.3">
      <c r="B11" t="str">
        <f>""</f>
        <v/>
      </c>
      <c r="D11" t="str">
        <f>""</f>
        <v/>
      </c>
    </row>
    <row r="12" spans="1:4" x14ac:dyDescent="0.3">
      <c r="A12" s="5"/>
      <c r="B12" s="5"/>
      <c r="C12" s="5"/>
      <c r="D12" s="5"/>
    </row>
    <row r="13" spans="1:4" x14ac:dyDescent="0.3">
      <c r="A13" s="2" t="s">
        <v>7</v>
      </c>
      <c r="B13" s="11" t="str">
        <f>"289"</f>
        <v>289</v>
      </c>
      <c r="C13" s="11" t="str">
        <f>"289"</f>
        <v>289</v>
      </c>
      <c r="D13" s="11" t="str">
        <f>"289"</f>
        <v>289</v>
      </c>
    </row>
    <row r="14" spans="1:4" ht="94.8" customHeight="1" x14ac:dyDescent="0.3">
      <c r="A14" s="8" t="s">
        <v>24</v>
      </c>
      <c r="B14" s="8"/>
      <c r="C14" s="8"/>
      <c r="D14" s="8"/>
    </row>
  </sheetData>
  <mergeCells count="1">
    <mergeCell ref="A14:D14"/>
  </mergeCells>
  <pageMargins left="0.7" right="0.7" top="0.78740157499999996" bottom="0.78740157499999996"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9D400-08D7-4CE7-8FCE-7ADEAFDCC6CE}">
  <dimension ref="A3:D18"/>
  <sheetViews>
    <sheetView workbookViewId="0">
      <selection activeCell="C18" sqref="A3:C18"/>
    </sheetView>
  </sheetViews>
  <sheetFormatPr baseColWidth="10" defaultRowHeight="14.4" x14ac:dyDescent="0.3"/>
  <cols>
    <col min="1" max="1" width="41" customWidth="1"/>
    <col min="2" max="2" width="26" customWidth="1"/>
    <col min="3" max="3" width="20.88671875" customWidth="1"/>
  </cols>
  <sheetData>
    <row r="3" spans="1:4" ht="28.2" customHeight="1" x14ac:dyDescent="0.3">
      <c r="A3" s="6" t="s">
        <v>29</v>
      </c>
      <c r="B3" s="6"/>
      <c r="C3" s="6"/>
    </row>
    <row r="4" spans="1:4" x14ac:dyDescent="0.3">
      <c r="A4" s="5"/>
      <c r="B4" s="14" t="s">
        <v>17</v>
      </c>
      <c r="C4" s="14" t="s">
        <v>19</v>
      </c>
    </row>
    <row r="5" spans="1:4" x14ac:dyDescent="0.3">
      <c r="A5" s="1"/>
      <c r="B5" s="15" t="s">
        <v>18</v>
      </c>
      <c r="C5" s="15" t="s">
        <v>20</v>
      </c>
      <c r="D5" s="1"/>
    </row>
    <row r="6" spans="1:4" x14ac:dyDescent="0.3">
      <c r="A6" s="2"/>
      <c r="B6" s="11" t="str">
        <f>"(1)"</f>
        <v>(1)</v>
      </c>
      <c r="C6" s="11" t="str">
        <f>"(2)"</f>
        <v>(2)</v>
      </c>
    </row>
    <row r="7" spans="1:4" x14ac:dyDescent="0.3">
      <c r="A7" t="s">
        <v>5</v>
      </c>
      <c r="B7" s="16" t="str">
        <f>"2.436***"</f>
        <v>2.436***</v>
      </c>
      <c r="C7" s="16" t="str">
        <f>"3.482***"</f>
        <v>3.482***</v>
      </c>
    </row>
    <row r="8" spans="1:4" x14ac:dyDescent="0.3">
      <c r="B8" s="16" t="str">
        <f>"(0.820)"</f>
        <v>(0.820)</v>
      </c>
      <c r="C8" s="16" t="str">
        <f>"(1.357)"</f>
        <v>(1.357)</v>
      </c>
    </row>
    <row r="9" spans="1:4" x14ac:dyDescent="0.3">
      <c r="A9" t="s">
        <v>6</v>
      </c>
      <c r="B9" s="16" t="str">
        <f>"2.526"</f>
        <v>2.526</v>
      </c>
      <c r="C9" s="16" t="str">
        <f>"0.467"</f>
        <v>0.467</v>
      </c>
    </row>
    <row r="10" spans="1:4" x14ac:dyDescent="0.3">
      <c r="A10" t="str">
        <f>""</f>
        <v/>
      </c>
      <c r="B10" s="16" t="str">
        <f>"(4.623)"</f>
        <v>(4.623)</v>
      </c>
      <c r="C10" s="16" t="str">
        <f>"(0.919)"</f>
        <v>(0.919)</v>
      </c>
    </row>
    <row r="11" spans="1:4" x14ac:dyDescent="0.3">
      <c r="B11" t="str">
        <f>""</f>
        <v/>
      </c>
      <c r="C11" t="str">
        <f>""</f>
        <v/>
      </c>
    </row>
    <row r="12" spans="1:4" x14ac:dyDescent="0.3">
      <c r="A12" t="s">
        <v>0</v>
      </c>
      <c r="B12" s="12" t="s">
        <v>2</v>
      </c>
      <c r="C12" s="12" t="s">
        <v>2</v>
      </c>
    </row>
    <row r="13" spans="1:4" x14ac:dyDescent="0.3">
      <c r="A13" t="s">
        <v>3</v>
      </c>
      <c r="B13" s="12" t="s">
        <v>2</v>
      </c>
      <c r="C13" s="12" t="s">
        <v>2</v>
      </c>
    </row>
    <row r="14" spans="1:4" x14ac:dyDescent="0.3">
      <c r="A14" s="2" t="s">
        <v>4</v>
      </c>
      <c r="B14" s="11" t="s">
        <v>2</v>
      </c>
      <c r="C14" s="11" t="s">
        <v>2</v>
      </c>
    </row>
    <row r="15" spans="1:4" x14ac:dyDescent="0.3">
      <c r="B15" s="12"/>
      <c r="C15" s="12"/>
    </row>
    <row r="16" spans="1:4" x14ac:dyDescent="0.3">
      <c r="A16" s="2" t="s">
        <v>7</v>
      </c>
      <c r="B16" s="11" t="str">
        <f>"294"</f>
        <v>294</v>
      </c>
      <c r="C16" s="11" t="str">
        <f>"223"</f>
        <v>223</v>
      </c>
    </row>
    <row r="17" spans="1:3" ht="103.2" customHeight="1" x14ac:dyDescent="0.3">
      <c r="A17" s="6" t="s">
        <v>32</v>
      </c>
      <c r="B17" s="6"/>
      <c r="C17" s="6"/>
    </row>
    <row r="18" spans="1:3" x14ac:dyDescent="0.3">
      <c r="A18" t="s">
        <v>28</v>
      </c>
    </row>
  </sheetData>
  <mergeCells count="2">
    <mergeCell ref="A17:C17"/>
    <mergeCell ref="A3:C3"/>
  </mergeCells>
  <pageMargins left="0.7" right="0.7" top="0.78740157499999996" bottom="0.78740157499999996"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1</vt:i4>
      </vt:variant>
    </vt:vector>
  </HeadingPairs>
  <TitlesOfParts>
    <vt:vector size="5" baseType="lpstr">
      <vt:lpstr>Table 1</vt:lpstr>
      <vt:lpstr>Table 2</vt:lpstr>
      <vt:lpstr>Table 3</vt:lpstr>
      <vt:lpstr>Table 4</vt:lpstr>
      <vt:lpstr>'Table 2'!Druckbereich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Ewijk, Reyn</dc:creator>
  <cp:lastModifiedBy>Van Ewijk, Reyn</cp:lastModifiedBy>
  <cp:lastPrinted>2024-07-16T12:43:54Z</cp:lastPrinted>
  <dcterms:created xsi:type="dcterms:W3CDTF">2024-07-11T13:04:16Z</dcterms:created>
  <dcterms:modified xsi:type="dcterms:W3CDTF">2024-07-16T12:44:11Z</dcterms:modified>
</cp:coreProperties>
</file>