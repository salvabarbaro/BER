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U:\Salva\2024_08\"/>
    </mc:Choice>
  </mc:AlternateContent>
  <xr:revisionPtr revIDLastSave="0" documentId="13_ncr:1_{649CF7D2-B8BC-4BDF-94D3-5CE902FA0DB4}" xr6:coauthVersionLast="47" xr6:coauthVersionMax="47" xr10:uidLastSave="{00000000-0000-0000-0000-000000000000}"/>
  <bookViews>
    <workbookView xWindow="28680" yWindow="-120" windowWidth="29040" windowHeight="17640" xr2:uid="{E79D5FDA-EEA7-4E00-AD4D-EB63581A09D5}"/>
  </bookViews>
  <sheets>
    <sheet name="Table with full results" sheetId="1" r:id="rId1"/>
  </sheets>
  <definedNames>
    <definedName name="_xlnm.Print_Area" localSheetId="0">'Table with full results'!$A$3:$C$19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B4" i="1"/>
  <c r="C15" i="1"/>
  <c r="B15" i="1"/>
  <c r="A15" i="1"/>
  <c r="C14" i="1"/>
  <c r="B14" i="1"/>
  <c r="C13" i="1"/>
  <c r="B13" i="1"/>
  <c r="A13" i="1"/>
  <c r="C12" i="1"/>
  <c r="B12" i="1"/>
  <c r="C11" i="1"/>
  <c r="B11" i="1"/>
  <c r="C10" i="1"/>
  <c r="B10" i="1"/>
  <c r="B6" i="1"/>
  <c r="C6" i="1"/>
  <c r="B7" i="1"/>
  <c r="C7" i="1"/>
  <c r="C8" i="1"/>
  <c r="C9" i="1"/>
  <c r="B9" i="1"/>
  <c r="A9" i="1"/>
  <c r="B8" i="1"/>
  <c r="C5" i="1"/>
  <c r="B5" i="1"/>
  <c r="A4" i="1"/>
</calcChain>
</file>

<file path=xl/sharedStrings.xml><?xml version="1.0" encoding="utf-8"?>
<sst xmlns="http://schemas.openxmlformats.org/spreadsheetml/2006/main" count="14" uniqueCount="11">
  <si>
    <t>Linear time trend</t>
  </si>
  <si>
    <t>Yes</t>
  </si>
  <si>
    <t>Dummies for East German states / Berlin</t>
  </si>
  <si>
    <t>ln(state-level incidence rate)</t>
  </si>
  <si>
    <t>ln(state-level vaccination rate)</t>
  </si>
  <si>
    <t>\textit{Notes:} Each column reports exponentiated coefficients from a separate ordered logit regression. Dependent variable is the 4-point pandemic policy index (PPI). Higher values indicate a stronger expressed desire for centralized decision-making. Coefficients are expressed as changes in the odds ratio of giving a statement $Y$ that falls into a higher vs a lower category $j$, i.e., $P(Y\leq j)/P(Y &gt; j)$. All regressions control for ln(federal level incidence rate) and column (5) additionally controls for ln(federal level vaccination rate) and a dummy for the pre-vaccination period. Column (5) additionally controls for a dummy for the pre-vaccination period. State-level controls include states' general stances towards federalism, share of the manufacturing sector in gross value added, and financial strength ("Finanzkraftmesszahl"). \newline \textit{*** $p &lt; 0.01$, ** $p &lt; 0.05$, * $p &lt; 0.10$}</t>
  </si>
  <si>
    <t>State's general attitude towards federalism</t>
  </si>
  <si>
    <t xml:space="preserve">     (1 = strong preference for decentralization, … , 4 = strong preference for centralization)</t>
  </si>
  <si>
    <t>State's share of the manufacturing sector in gross value added</t>
  </si>
  <si>
    <r>
      <rPr>
        <b/>
        <sz val="11"/>
        <color theme="1"/>
        <rFont val="Aptos Narrow"/>
        <family val="2"/>
        <scheme val="minor"/>
      </rPr>
      <t>Table XX.</t>
    </r>
    <r>
      <rPr>
        <sz val="11"/>
        <color theme="1"/>
        <rFont val="Aptos Narrow"/>
        <family val="2"/>
        <scheme val="minor"/>
      </rPr>
      <t xml:space="preserve"> Covid-19 incidence rates and state prime ministers' statements favoring (de)centralized decision-making</t>
    </r>
  </si>
  <si>
    <t>State's financial strength (mean 94, SD 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</si>
</sst>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2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distributed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57C5-038A-43F3-9BB3-BA4DA38F7AEC}">
  <dimension ref="A3:F19"/>
  <sheetViews>
    <sheetView tabSelected="1" workbookViewId="0">
      <selection activeCell="A19" sqref="A3:C19"/>
    </sheetView>
  </sheetViews>
  <sheetFormatPr baseColWidth="10" defaultRowHeight="15" x14ac:dyDescent="0.25"/>
  <cols>
    <col min="1" max="1" width="78.85546875" customWidth="1"/>
    <col min="2" max="2" width="21" customWidth="1"/>
    <col min="3" max="3" width="20.85546875" customWidth="1"/>
  </cols>
  <sheetData>
    <row r="3" spans="1:6" x14ac:dyDescent="0.25">
      <c r="A3" t="s">
        <v>9</v>
      </c>
    </row>
    <row r="4" spans="1:6" x14ac:dyDescent="0.25">
      <c r="A4" s="3" t="str">
        <f>""</f>
        <v/>
      </c>
      <c r="B4" s="4" t="str">
        <f>"(1)"</f>
        <v>(1)</v>
      </c>
      <c r="C4" s="4" t="str">
        <f>"(2)"</f>
        <v>(2)</v>
      </c>
      <c r="D4" s="1"/>
      <c r="E4" s="1"/>
      <c r="F4" s="1"/>
    </row>
    <row r="5" spans="1:6" x14ac:dyDescent="0.25">
      <c r="B5" t="str">
        <f>""</f>
        <v/>
      </c>
      <c r="C5" t="str">
        <f>""</f>
        <v/>
      </c>
    </row>
    <row r="6" spans="1:6" x14ac:dyDescent="0.25">
      <c r="A6" t="s">
        <v>3</v>
      </c>
      <c r="B6" s="7" t="str">
        <f>"1.983***"</f>
        <v>1.983***</v>
      </c>
      <c r="C6" s="7" t="str">
        <f>"1.985***"</f>
        <v>1.985***</v>
      </c>
    </row>
    <row r="7" spans="1:6" x14ac:dyDescent="0.25">
      <c r="B7" s="7" t="str">
        <f>"(0.425)"</f>
        <v>(0.425)</v>
      </c>
      <c r="C7" s="7" t="str">
        <f>"(0.438)"</f>
        <v>(0.438)</v>
      </c>
    </row>
    <row r="8" spans="1:6" x14ac:dyDescent="0.25">
      <c r="A8" t="s">
        <v>4</v>
      </c>
      <c r="B8" s="7" t="str">
        <f>""</f>
        <v/>
      </c>
      <c r="C8" s="7" t="str">
        <f>"0.806"</f>
        <v>0.806</v>
      </c>
    </row>
    <row r="9" spans="1:6" x14ac:dyDescent="0.25">
      <c r="A9" t="str">
        <f>""</f>
        <v/>
      </c>
      <c r="B9" s="7" t="str">
        <f>""</f>
        <v/>
      </c>
      <c r="C9" s="7" t="str">
        <f>"(0.117)"</f>
        <v>(0.117)</v>
      </c>
    </row>
    <row r="10" spans="1:6" x14ac:dyDescent="0.25">
      <c r="A10" t="s">
        <v>6</v>
      </c>
      <c r="B10" s="7" t="str">
        <f>"0.850"</f>
        <v>0.850</v>
      </c>
      <c r="C10" s="7" t="str">
        <f>"0.826"</f>
        <v>0.826</v>
      </c>
    </row>
    <row r="11" spans="1:6" x14ac:dyDescent="0.25">
      <c r="A11" t="s">
        <v>7</v>
      </c>
      <c r="B11" s="7" t="str">
        <f>"(0.164)"</f>
        <v>(0.164)</v>
      </c>
      <c r="C11" s="7" t="str">
        <f>"(0.161)"</f>
        <v>(0.161)</v>
      </c>
    </row>
    <row r="12" spans="1:6" x14ac:dyDescent="0.25">
      <c r="A12" t="s">
        <v>10</v>
      </c>
      <c r="B12" s="7" t="str">
        <f>"0.990"</f>
        <v>0.990</v>
      </c>
      <c r="C12" s="7" t="str">
        <f>"0.989"</f>
        <v>0.989</v>
      </c>
    </row>
    <row r="13" spans="1:6" x14ac:dyDescent="0.25">
      <c r="A13" t="str">
        <f>""</f>
        <v/>
      </c>
      <c r="B13" s="7" t="str">
        <f>"(0.012)"</f>
        <v>(0.012)</v>
      </c>
      <c r="C13" s="7" t="str">
        <f>"(0.012)"</f>
        <v>(0.012)</v>
      </c>
    </row>
    <row r="14" spans="1:6" x14ac:dyDescent="0.25">
      <c r="A14" t="s">
        <v>8</v>
      </c>
      <c r="B14" s="7" t="str">
        <f>"0.161"</f>
        <v>0.161</v>
      </c>
      <c r="C14" s="7" t="str">
        <f>"0.136"</f>
        <v>0.136</v>
      </c>
    </row>
    <row r="15" spans="1:6" x14ac:dyDescent="0.25">
      <c r="A15" t="str">
        <f>""</f>
        <v/>
      </c>
      <c r="B15" s="7" t="str">
        <f>"(0.293)"</f>
        <v>(0.293)</v>
      </c>
      <c r="C15" s="7" t="str">
        <f>"(0.250)"</f>
        <v>(0.250)</v>
      </c>
    </row>
    <row r="17" spans="1:3" x14ac:dyDescent="0.25">
      <c r="A17" t="s">
        <v>0</v>
      </c>
      <c r="B17" s="6" t="s">
        <v>1</v>
      </c>
      <c r="C17" s="6" t="s">
        <v>1</v>
      </c>
    </row>
    <row r="18" spans="1:3" x14ac:dyDescent="0.25">
      <c r="A18" s="2" t="s">
        <v>2</v>
      </c>
      <c r="B18" s="5" t="s">
        <v>1</v>
      </c>
      <c r="C18" s="5" t="s">
        <v>1</v>
      </c>
    </row>
    <row r="19" spans="1:3" ht="125.25" customHeight="1" x14ac:dyDescent="0.25">
      <c r="A19" s="8" t="s">
        <v>5</v>
      </c>
      <c r="B19" s="8"/>
      <c r="C19" s="8"/>
    </row>
  </sheetData>
  <mergeCells count="1">
    <mergeCell ref="A19:C19"/>
  </mergeCell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Table with full results</vt:lpstr>
      <vt:lpstr>'Table with full results'!Druckbereich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Ewijk, Reyn</dc:creator>
  <cp:lastModifiedBy>Van Ewijk, Reyn</cp:lastModifiedBy>
  <cp:lastPrinted>2024-08-27T19:34:19Z</cp:lastPrinted>
  <dcterms:created xsi:type="dcterms:W3CDTF">2024-07-11T13:04:16Z</dcterms:created>
  <dcterms:modified xsi:type="dcterms:W3CDTF">2024-08-27T19:34:46Z</dcterms:modified>
</cp:coreProperties>
</file>